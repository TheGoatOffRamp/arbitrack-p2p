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Operaciones" state="visible" r:id="rId5"/>
    <sheet sheetId="3" name="Ciclos" state="visible" r:id="rId6"/>
    <sheet sheetId="4" name="Trazabilidad FIFO" state="visible" r:id="rId7"/>
    <sheet sheetId="5" name="Por moneda" state="visible" r:id="rId8"/>
    <sheet sheetId="6" name="Por exchange" state="visible" r:id="rId9"/>
    <sheet sheetId="7" name="Por período" state="visible" r:id="rId10"/>
    <sheet sheetId="8" name="Comisiones" state="visible" r:id="rId11"/>
    <sheet sheetId="9" name="Otros costos" state="visible" r:id="rId12"/>
    <sheet sheetId="10" name="Excluidas" state="visible" r:id="rId13"/>
    <sheet sheetId="11" name="Incidencias" state="visible" r:id="rId14"/>
    <sheet sheetId="12" name="Metodología" state="visible" r:id="rId15"/>
  </sheets>
  <calcPr calcId="171027"/>
</workbook>
</file>

<file path=xl/sharedStrings.xml><?xml version="1.0" encoding="utf-8"?>
<sst xmlns="http://schemas.openxmlformats.org/spreadsheetml/2006/main" count="469" uniqueCount="224">
  <si>
    <t>ArbiTrack P2P — Resumen de resultados</t>
  </si>
  <si>
    <t>Período: 2026-09-01 → 2026-09-30 · Horas en America/Lima (UTC−05:00)</t>
  </si>
  <si>
    <t>Generado: 2026-09-29 20:28:35 · Titular: Ejemplo</t>
  </si>
  <si>
    <t>Cada columna es un mercado (par). Importes en la moneda cotizada del par; los pares NO se suman entre sí.</t>
  </si>
  <si>
    <t>Concepto</t>
  </si>
  <si>
    <t>Unidad</t>
  </si>
  <si>
    <t>USDT/PEN</t>
  </si>
  <si>
    <t>USDT/USD</t>
  </si>
  <si>
    <t>MOVIMIENTOS DEL PERÍODO</t>
  </si>
  <si>
    <t>Compras (órdenes)</t>
  </si>
  <si>
    <t>n</t>
  </si>
  <si>
    <t>Cantidad comprada</t>
  </si>
  <si>
    <t>cripto</t>
  </si>
  <si>
    <t>Fiat pagado en compras</t>
  </si>
  <si>
    <t>fiat</t>
  </si>
  <si>
    <t>Precio promedio de compra</t>
  </si>
  <si>
    <t>Ventas (órdenes)</t>
  </si>
  <si>
    <t>Cantidad vendida</t>
  </si>
  <si>
    <t>Fiat recibido en ventas</t>
  </si>
  <si>
    <t>Precio promedio de venta</t>
  </si>
  <si>
    <t>RESULTADO (FIFO)</t>
  </si>
  <si>
    <t>Ingreso reconocido por ventas</t>
  </si>
  <si>
    <t>(−) Costo de lo vendido</t>
  </si>
  <si>
    <t>= Ganancia bruta</t>
  </si>
  <si>
    <t>(−) Comisiones</t>
  </si>
  <si>
    <t>(−) Otros costos</t>
  </si>
  <si>
    <t>= Ganancia neta</t>
  </si>
  <si>
    <t>Margen neto sobre costo</t>
  </si>
  <si>
    <t>%</t>
  </si>
  <si>
    <t>Ciclos cerrados</t>
  </si>
  <si>
    <t>INVENTARIO (valorizado a costo)</t>
  </si>
  <si>
    <t>Inventario inicial — cantidad</t>
  </si>
  <si>
    <t>Inventario inicial — costo</t>
  </si>
  <si>
    <t>Inventario final — cantidad</t>
  </si>
  <si>
    <t>Inventario final — costo</t>
  </si>
  <si>
    <t>Inventario final — costo promedio</t>
  </si>
  <si>
    <t>CONTROLES</t>
  </si>
  <si>
    <t>Ventas sin compra registrada (no reconocidas)</t>
  </si>
  <si>
    <t>Flujo neto de caja del período</t>
  </si>
  <si>
    <t>(+) Variación de inventario a costo</t>
  </si>
  <si>
    <t>Diferencia vs. ganancia neta (debe ser 0)</t>
  </si>
  <si>
    <t>Operaciones del período</t>
  </si>
  <si>
    <t>Contabilizadas (completadas y válidas)</t>
  </si>
  <si>
    <t>Excluidas (pendientes, canceladas, fallidas, en disputa o con error)</t>
  </si>
  <si>
    <t>Incidencias: errores / advertencias / información</t>
  </si>
  <si>
    <t>0 / 1 / 1</t>
  </si>
  <si>
    <t>Operaciones contabilizadas</t>
  </si>
  <si>
    <t>Solo operaciones completadas y sin errores. Las demás están en la hoja "Excluidas". Totales por par en "Por moneda".</t>
  </si>
  <si>
    <t>Fecha y hora (America/Lima)</t>
  </si>
  <si>
    <t>Exchange</t>
  </si>
  <si>
    <t>N° de orden</t>
  </si>
  <si>
    <t>Contraparte</t>
  </si>
  <si>
    <t>Tipo</t>
  </si>
  <si>
    <t>Par</t>
  </si>
  <si>
    <t>Cantidad (cripto)</t>
  </si>
  <si>
    <t>Precio</t>
  </si>
  <si>
    <t>Total (fiat)</t>
  </si>
  <si>
    <t>Comisión</t>
  </si>
  <si>
    <t>Moneda comisión</t>
  </si>
  <si>
    <t>Comisión valorizada (fiat)</t>
  </si>
  <si>
    <t>Estado</t>
  </si>
  <si>
    <t>Ciclo</t>
  </si>
  <si>
    <t>Ganancia bruta del ciclo</t>
  </si>
  <si>
    <t>Ganancia neta del ciclo</t>
  </si>
  <si>
    <t>Método de pago</t>
  </si>
  <si>
    <t>Fuente</t>
  </si>
  <si>
    <t>Archivo / fila</t>
  </si>
  <si>
    <t>ID interno</t>
  </si>
  <si>
    <t>Binance</t>
  </si>
  <si>
    <t>22810000000000000001</t>
  </si>
  <si>
    <t>comprador_lima</t>
  </si>
  <si>
    <t>Compra</t>
  </si>
  <si>
    <t>USDT</t>
  </si>
  <si>
    <t>Completada</t>
  </si>
  <si>
    <t>C-binance_22810000000000000003</t>
  </si>
  <si>
    <t/>
  </si>
  <si>
    <t>Archivo</t>
  </si>
  <si>
    <t>binance_p2p.csv · fila 2</t>
  </si>
  <si>
    <t>binance_22810000000000000001</t>
  </si>
  <si>
    <t>22810000000000000002</t>
  </si>
  <si>
    <t>p2p_rapido</t>
  </si>
  <si>
    <t>C-binance_22810000000000000003, C-eldorado_ED-1001</t>
  </si>
  <si>
    <t>binance_p2p.csv · fila 3</t>
  </si>
  <si>
    <t>binance_22810000000000000002</t>
  </si>
  <si>
    <t>22810000000000000003</t>
  </si>
  <si>
    <t>casa_cambio_x</t>
  </si>
  <si>
    <t>Venta</t>
  </si>
  <si>
    <t>binance_p2p.csv · fila 4</t>
  </si>
  <si>
    <t>binance_22810000000000000003</t>
  </si>
  <si>
    <t>22810000000000000005</t>
  </si>
  <si>
    <t>miami_otc</t>
  </si>
  <si>
    <t>C-binance_22810000000000000006</t>
  </si>
  <si>
    <t>binance_p2p.csv · fila 6</t>
  </si>
  <si>
    <t>binance_22810000000000000005</t>
  </si>
  <si>
    <t>El Dorado</t>
  </si>
  <si>
    <t>ED-1001</t>
  </si>
  <si>
    <t>Rosa</t>
  </si>
  <si>
    <t>C-eldorado_ED-1001</t>
  </si>
  <si>
    <t>eldorado.csv · fila 2</t>
  </si>
  <si>
    <t>eldorado_ED-1001</t>
  </si>
  <si>
    <t>22810000000000000006</t>
  </si>
  <si>
    <t>miami_otc2</t>
  </si>
  <si>
    <t>binance_p2p.csv · fila 7</t>
  </si>
  <si>
    <t>binance_22810000000000000006</t>
  </si>
  <si>
    <t>ED-1002</t>
  </si>
  <si>
    <t>Luis</t>
  </si>
  <si>
    <t>C-eldorado_ED-1004</t>
  </si>
  <si>
    <t>eldorado.csv · fila 3</t>
  </si>
  <si>
    <t>eldorado_ED-1002</t>
  </si>
  <si>
    <t>ED-1004</t>
  </si>
  <si>
    <t>Carla</t>
  </si>
  <si>
    <t>eldorado.csv · fila 5</t>
  </si>
  <si>
    <t>eldorado_ED-1004</t>
  </si>
  <si>
    <t>Ciclos de arbitraje</t>
  </si>
  <si>
    <t>Ciclo automático = una venta y los lotes de compra que consume por FIFO dentro del mismo par. Ciclo manual = grupo definido por el usuario.</t>
  </si>
  <si>
    <t>Detalle unidad por unidad en "Trazabilidad FIFO".</t>
  </si>
  <si>
    <t>Apertura</t>
  </si>
  <si>
    <t>Cierre</t>
  </si>
  <si>
    <t>Exchange(s) de compra</t>
  </si>
  <si>
    <t>Exchange de venta</t>
  </si>
  <si>
    <t>Cantidad</t>
  </si>
  <si>
    <t>Precio prom. compra</t>
  </si>
  <si>
    <t>Precio venta</t>
  </si>
  <si>
    <t>Ingreso</t>
  </si>
  <si>
    <t>Costo FIFO</t>
  </si>
  <si>
    <t>Ganancia bruta</t>
  </si>
  <si>
    <t>Comisiones</t>
  </si>
  <si>
    <t>Otros costos</t>
  </si>
  <si>
    <t>Ganancia neta</t>
  </si>
  <si>
    <t>Margen neto %</t>
  </si>
  <si>
    <t>Neta acumulada del par</t>
  </si>
  <si>
    <t>Compras (IDs)</t>
  </si>
  <si>
    <t>Ventas (IDs)</t>
  </si>
  <si>
    <t>automatico</t>
  </si>
  <si>
    <t>completo</t>
  </si>
  <si>
    <t>binance_22810000000000000001, binance_22810000000000000002</t>
  </si>
  <si>
    <t>Trazabilidad FIFO: qué compra respalda cada venta</t>
  </si>
  <si>
    <t>Costo asignado = cantidad × precio de compra. Comisión de compra asignada en proporción a la cantidad consumida del lote.</t>
  </si>
  <si>
    <t>Uso</t>
  </si>
  <si>
    <t>Venta (ID)</t>
  </si>
  <si>
    <t>Fecha venta</t>
  </si>
  <si>
    <t>Exchange venta</t>
  </si>
  <si>
    <t>Compra (ID)</t>
  </si>
  <si>
    <t>Fecha compra</t>
  </si>
  <si>
    <t>Exchange compra</t>
  </si>
  <si>
    <t>Cantidad asignada</t>
  </si>
  <si>
    <t>Precio compra</t>
  </si>
  <si>
    <t>Costo asignado</t>
  </si>
  <si>
    <t>Comisión compra asignada</t>
  </si>
  <si>
    <t>venta</t>
  </si>
  <si>
    <t>Totales por par / moneda</t>
  </si>
  <si>
    <t>Montos de compra y venta calculados con SUMIFS sobre la hoja Operaciones (verificables). Resultado según FIFO.</t>
  </si>
  <si>
    <t>Moneda cripto</t>
  </si>
  <si>
    <t>Moneda fiat</t>
  </si>
  <si>
    <t>Fiat pagado</t>
  </si>
  <si>
    <t>Fiat recibido</t>
  </si>
  <si>
    <t>Comisiones (fiat)</t>
  </si>
  <si>
    <t>Inventario final</t>
  </si>
  <si>
    <t>PEN</t>
  </si>
  <si>
    <t>USD</t>
  </si>
  <si>
    <t>Resultados por exchange</t>
  </si>
  <si>
    <t>El resultado de cada ciclo se atribuye al exchange donde se cerró la venta.</t>
  </si>
  <si>
    <t>Compras</t>
  </si>
  <si>
    <t>Ventas</t>
  </si>
  <si>
    <t>Bruta (ciclos cerrados aquí)</t>
  </si>
  <si>
    <t>Neta (ciclos cerrados aquí)</t>
  </si>
  <si>
    <t>Resultados mensuales</t>
  </si>
  <si>
    <t>Mes según la fecha de cierre del ciclo en America/Lima.</t>
  </si>
  <si>
    <t>Mes</t>
  </si>
  <si>
    <t>Ciclos</t>
  </si>
  <si>
    <t>2026-09</t>
  </si>
  <si>
    <t>Comisiones pagadas</t>
  </si>
  <si>
    <t>Comisión en cripto de una compra: valorizada al precio de esa compra. De una venta: al costo FIFO de las unidades entregadas.</t>
  </si>
  <si>
    <t>Fecha (America/Lima)</t>
  </si>
  <si>
    <t>Moneda</t>
  </si>
  <si>
    <t>Valor (fiat del par)</t>
  </si>
  <si>
    <t>Criterio de valorización</t>
  </si>
  <si>
    <t>precio de la compra</t>
  </si>
  <si>
    <t>Total USDT/PEN (PEN)</t>
  </si>
  <si>
    <t>Total USDT/USD (USD)</t>
  </si>
  <si>
    <t>Otros costos (red, bancos, transferencias)</t>
  </si>
  <si>
    <t>Costos en cripto valorizados al costo FIFO de las unidades consumidas.</t>
  </si>
  <si>
    <t>Descripción</t>
  </si>
  <si>
    <t>Monto</t>
  </si>
  <si>
    <t>Nota</t>
  </si>
  <si>
    <t>Retiro Binance → El Dorado (red TRC20)</t>
  </si>
  <si>
    <t>Comisiones bancarias del mes</t>
  </si>
  <si>
    <t>Operaciones NO contabilizadas</t>
  </si>
  <si>
    <t>No afectan resultados, saldos ni totales. Se listan para conciliación con el exchange.</t>
  </si>
  <si>
    <t>Total</t>
  </si>
  <si>
    <t>Estado original</t>
  </si>
  <si>
    <t>Motivo de exclusión</t>
  </si>
  <si>
    <t>22810000000000000004</t>
  </si>
  <si>
    <t>jperez</t>
  </si>
  <si>
    <t>Cancelada</t>
  </si>
  <si>
    <t>Cancelled</t>
  </si>
  <si>
    <t>estado "cancelado"</t>
  </si>
  <si>
    <t>ED-1003</t>
  </si>
  <si>
    <t>Pendiente</t>
  </si>
  <si>
    <t>estado "pendiente"</t>
  </si>
  <si>
    <t>Incidencias detectadas</t>
  </si>
  <si>
    <t>Nada se corrige en silencio: cada inconsistencia queda listada con su motivo.</t>
  </si>
  <si>
    <t>Severidad</t>
  </si>
  <si>
    <t>Código</t>
  </si>
  <si>
    <t>Referencia</t>
  </si>
  <si>
    <t>Detalle</t>
  </si>
  <si>
    <t>Advertencia</t>
  </si>
  <si>
    <t>PENDIENTE_ANTIGUA</t>
  </si>
  <si>
    <t>eldorado_ED-1003</t>
  </si>
  <si>
    <t>Sigue pendiente después de 48 h. Vuelva a sincronizar/importar para actualizar su estado.</t>
  </si>
  <si>
    <t>Información</t>
  </si>
  <si>
    <t>COMPRA_SIN_VENTA</t>
  </si>
  <si>
    <t>Quedan 150 USDT de esta compra en inventario (sin venta asociada al cierre del período).</t>
  </si>
  <si>
    <t>METODOLOGÍA DE CÁLCULO — ArbiTrack P2P</t>
  </si>
  <si>
    <t>1. Solo se contabilizan operaciones con estado "Completada" y sin errores de consistencia. Pendientes, canceladas, fallidas y en disputa no afectan resultados ni saldos.</t>
  </si>
  <si>
    <t>2. Cada par (p. ej. USDT/PEN, USDT/USD, BTC/PEN) se calcula por separado con su propio inventario. No se suman monedas distintas ni se convierten sin una tasa explícita.</t>
  </si>
  <si>
    <t>3. Costo de lo vendido: método FIFO (primeras entradas, primeras salidas) por par, a través de todos los exchanges. Las transferencias entre exchanges no generan resultado; sus comisiones se registran como "Otros costos".</t>
  </si>
  <si>
    <t>4. Ganancia bruta = ingreso de la venta − costo FIFO. Comisiones = comisión de compra asignada + comisión de venta. Ganancia neta = bruta − comisiones − otros costos.</t>
  </si>
  <si>
    <t>5. Comisión en cripto de una compra: reduce la cantidad recibida y se valoriza al precio de esa compra. Comisión en cripto de una venta: consume inventario y se valoriza a su costo FIFO. Comisión en fiat: su importe.</t>
  </si>
  <si>
    <t>6. Si se vende más cripto de la que se compró (ventas sin compra registrada), la parte sin costo conocido NO se reconoce como ganancia y se reporta en Controles e Incidencias.</t>
  </si>
  <si>
    <t>7. Resultados de un período: el inventario acumulado antes del período se arrastra como inventario inicial (a costo). El resultado se reconoce en la fecha de la venta.</t>
  </si>
  <si>
    <t>8. Conciliación: flujo neto de caja del período + variación de inventario a costo = ganancia neta. La diferencia debe ser 0 en cada par.</t>
  </si>
  <si>
    <t>9. Fechas: se almacenan en UTC y se muestran en America/Lima. Los archivos importados sin zona horaria se interpretaron en la zona indicada al importar.</t>
  </si>
  <si>
    <t>10. Importes almacenados con precisión decimal exacta; en esta hoja se muestran redondeados según el formato de celda (el valor completo está en la celda).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</si>
</sst>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######;[Red]-#,##0.00######"/>
    <numFmt numFmtId="165" formatCode="#,##0.00;[Red]-#,##0.00"/>
    <numFmt numFmtId="166" formatCode="#,##0.0000##"/>
    <numFmt numFmtId="167" formatCode="0.000&quot;%&quot;;[Red]-0.000&quot;%&quot;"/>
    <numFmt numFmtId="168" formatCode="yyyy-mm-dd hh:mm:ss"/>
  </numFmts>
  <fonts count="16" x14ac:knownFonts="1">
    <font>
      <color theme="1"/>
      <family val="2"/>
      <scheme val="minor"/>
      <sz val="11"/>
      <name val="Calibri"/>
    </font>
    <font>
      <b/>
      <color rgb="FF1E293B"/>
      <sz val="14"/>
    </font>
    <font>
      <color rgb="FF475569"/>
      <sz val="9"/>
    </font>
    <font>
      <b/>
      <color rgb="FFFFFFFF"/>
    </font>
    <font>
      <b/>
      <color rgb="FF475569"/>
      <sz val="10"/>
    </font>
    <font>
      <sz val="10"/>
    </font>
    <font>
      <color rgb="FF94A3B8"/>
      <sz val="9"/>
    </font>
    <font>
      <b/>
      <sz val="10"/>
    </font>
    <font>
      <b/>
      <color rgb="FF047857"/>
      <sz val="11"/>
    </font>
    <font>
      <color rgb="FF475569"/>
      <sz val="10"/>
    </font>
    <font>
      <b/>
      <color rgb="FFFFFFFF"/>
      <sz val="10"/>
    </font>
    <font>
      <color rgb="FF1E293B"/>
      <sz val="10"/>
    </font>
    <font>
      <b/>
      <color rgb="FF1D4ED8"/>
      <sz val="10"/>
    </font>
    <font>
      <b/>
      <color rgb="FF047857"/>
      <sz val="10"/>
    </font>
    <font>
      <b/>
      <color rgb="FFB45309"/>
      <sz val="10"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7" fillId="0" borderId="0" xfId="0" applyFont="1"/>
    <xf numFmtId="165" fontId="8" fillId="3" borderId="1" xfId="0" applyNumberFormat="1" applyFont="1" applyFill="1" applyBorder="1"/>
    <xf numFmtId="167" fontId="5" fillId="0" borderId="1" xfId="0" applyNumberFormat="1" applyFont="1" applyBorder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168" fontId="11" fillId="0" borderId="1" xfId="0" applyNumberFormat="1" applyFont="1" applyBorder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164" fontId="11" fillId="0" borderId="1" xfId="0" applyNumberFormat="1" applyFont="1" applyBorder="1"/>
    <xf numFmtId="166" fontId="11" fillId="0" borderId="1" xfId="0" applyNumberFormat="1" applyFont="1" applyBorder="1"/>
    <xf numFmtId="165" fontId="11" fillId="0" borderId="1" xfId="0" applyNumberFormat="1" applyFont="1" applyBorder="1"/>
    <xf numFmtId="168" fontId="11" fillId="4" borderId="1" xfId="0" applyNumberFormat="1" applyFont="1" applyFill="1" applyBorder="1"/>
    <xf numFmtId="0" fontId="11" fillId="4" borderId="1" xfId="0" applyFont="1" applyFill="1" applyBorder="1"/>
    <xf numFmtId="0" fontId="12" fillId="4" borderId="1" xfId="0" applyFont="1" applyFill="1" applyBorder="1" applyAlignment="1">
      <alignment horizontal="center"/>
    </xf>
    <xf numFmtId="164" fontId="11" fillId="4" borderId="1" xfId="0" applyNumberFormat="1" applyFont="1" applyFill="1" applyBorder="1"/>
    <xf numFmtId="166" fontId="11" fillId="4" borderId="1" xfId="0" applyNumberFormat="1" applyFont="1" applyFill="1" applyBorder="1"/>
    <xf numFmtId="165" fontId="11" fillId="4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0" borderId="1" xfId="0" applyFont="1" applyBorder="1"/>
    <xf numFmtId="165" fontId="13" fillId="0" borderId="1" xfId="0" applyNumberFormat="1" applyFont="1" applyBorder="1"/>
    <xf numFmtId="167" fontId="11" fillId="0" borderId="1" xfId="0" applyNumberFormat="1" applyFont="1" applyBorder="1"/>
    <xf numFmtId="0" fontId="13" fillId="4" borderId="1" xfId="0" applyFont="1" applyFill="1" applyBorder="1"/>
    <xf numFmtId="165" fontId="13" fillId="4" borderId="1" xfId="0" applyNumberFormat="1" applyFont="1" applyFill="1" applyBorder="1"/>
    <xf numFmtId="167" fontId="11" fillId="4" borderId="1" xfId="0" applyNumberFormat="1" applyFont="1" applyFill="1" applyBorder="1"/>
    <xf numFmtId="3" fontId="11" fillId="0" borderId="1" xfId="0" applyNumberFormat="1" applyFont="1" applyBorder="1"/>
    <xf numFmtId="3" fontId="11" fillId="4" borderId="1" xfId="0" applyNumberFormat="1" applyFont="1" applyFill="1" applyBorder="1"/>
    <xf numFmtId="0" fontId="7" fillId="3" borderId="1" xfId="0" applyFont="1" applyFill="1" applyBorder="1"/>
    <xf numFmtId="165" fontId="7" fillId="3" borderId="1" xfId="0" applyNumberFormat="1" applyFont="1" applyFill="1" applyBorder="1"/>
    <xf numFmtId="0" fontId="14" fillId="0" borderId="1" xfId="0" applyFont="1" applyBorder="1"/>
    <xf numFmtId="0" fontId="4" fillId="4" borderId="1" xfId="0" applyFont="1" applyFill="1" applyBorder="1"/>
    <xf numFmtId="0" fontId="15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  <pageSetUpPr fitToPage="1"/>
  </sheetPr>
  <dimension ref="A1:D40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12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6" spans="1:4" x14ac:dyDescent="0.25">
      <c r="A6" s="3" t="s">
        <v>4</v>
      </c>
      <c r="B6" s="3" t="s">
        <v>5</v>
      </c>
      <c r="C6" s="3" t="s">
        <v>6</v>
      </c>
      <c r="D6" s="3" t="s">
        <v>7</v>
      </c>
    </row>
    <row r="7" spans="1:1" x14ac:dyDescent="0.25">
      <c r="A7" s="4" t="s">
        <v>8</v>
      </c>
    </row>
    <row r="8" spans="1:4" x14ac:dyDescent="0.25">
      <c r="A8" s="5" t="s">
        <v>9</v>
      </c>
      <c r="B8" s="6" t="s">
        <v>10</v>
      </c>
      <c r="C8" s="7">
        <v>3</v>
      </c>
      <c r="D8" s="7">
        <v>1</v>
      </c>
    </row>
    <row r="9" spans="1:4" x14ac:dyDescent="0.25">
      <c r="A9" s="5" t="s">
        <v>11</v>
      </c>
      <c r="B9" s="6" t="s">
        <v>12</v>
      </c>
      <c r="C9" s="8">
        <v>1200</v>
      </c>
      <c r="D9" s="8">
        <v>200</v>
      </c>
    </row>
    <row r="10" spans="1:4" x14ac:dyDescent="0.25">
      <c r="A10" s="5" t="s">
        <v>13</v>
      </c>
      <c r="B10" s="6" t="s">
        <v>14</v>
      </c>
      <c r="C10" s="9">
        <v>4446.5</v>
      </c>
      <c r="D10" s="9">
        <v>200</v>
      </c>
    </row>
    <row r="11" spans="1:4" x14ac:dyDescent="0.25">
      <c r="A11" s="5" t="s">
        <v>15</v>
      </c>
      <c r="B11" s="6" t="s">
        <v>14</v>
      </c>
      <c r="C11" s="10">
        <v>3.70541667</v>
      </c>
      <c r="D11" s="10">
        <v>1</v>
      </c>
    </row>
    <row r="12" spans="1:4" x14ac:dyDescent="0.25">
      <c r="A12" s="5" t="s">
        <v>16</v>
      </c>
      <c r="B12" s="6" t="s">
        <v>10</v>
      </c>
      <c r="C12" s="7">
        <v>3</v>
      </c>
      <c r="D12" s="7">
        <v>1</v>
      </c>
    </row>
    <row r="13" spans="1:4" x14ac:dyDescent="0.25">
      <c r="A13" s="5" t="s">
        <v>17</v>
      </c>
      <c r="B13" s="6" t="s">
        <v>12</v>
      </c>
      <c r="C13" s="8">
        <v>1048.6</v>
      </c>
      <c r="D13" s="8">
        <v>200</v>
      </c>
    </row>
    <row r="14" spans="1:4" x14ac:dyDescent="0.25">
      <c r="A14" s="5" t="s">
        <v>18</v>
      </c>
      <c r="B14" s="6" t="s">
        <v>14</v>
      </c>
      <c r="C14" s="9">
        <v>3956.71</v>
      </c>
      <c r="D14" s="9">
        <v>202</v>
      </c>
    </row>
    <row r="15" spans="1:4" x14ac:dyDescent="0.25">
      <c r="A15" s="5" t="s">
        <v>19</v>
      </c>
      <c r="B15" s="6" t="s">
        <v>14</v>
      </c>
      <c r="C15" s="10">
        <v>3.77332634</v>
      </c>
      <c r="D15" s="10">
        <v>1.01</v>
      </c>
    </row>
    <row r="16" spans="1:1" x14ac:dyDescent="0.25">
      <c r="A16" s="4" t="s">
        <v>20</v>
      </c>
    </row>
    <row r="17" spans="1:4" x14ac:dyDescent="0.25">
      <c r="A17" s="5" t="s">
        <v>21</v>
      </c>
      <c r="B17" s="6" t="s">
        <v>14</v>
      </c>
      <c r="C17" s="9">
        <v>3956.71</v>
      </c>
      <c r="D17" s="9">
        <v>202</v>
      </c>
    </row>
    <row r="18" spans="1:4" x14ac:dyDescent="0.25">
      <c r="A18" s="5" t="s">
        <v>22</v>
      </c>
      <c r="B18" s="6" t="s">
        <v>14</v>
      </c>
      <c r="C18" s="9">
        <v>3885.55</v>
      </c>
      <c r="D18" s="9">
        <v>200</v>
      </c>
    </row>
    <row r="19" spans="1:4" x14ac:dyDescent="0.25">
      <c r="A19" s="11" t="s">
        <v>23</v>
      </c>
      <c r="B19" s="6" t="s">
        <v>14</v>
      </c>
      <c r="C19" s="12">
        <v>71.16</v>
      </c>
      <c r="D19" s="12">
        <v>2</v>
      </c>
    </row>
    <row r="20" spans="1:4" x14ac:dyDescent="0.25">
      <c r="A20" s="5" t="s">
        <v>24</v>
      </c>
      <c r="B20" s="6" t="s">
        <v>14</v>
      </c>
      <c r="C20" s="9">
        <v>1.48</v>
      </c>
      <c r="D20" s="9">
        <v>0</v>
      </c>
    </row>
    <row r="21" spans="1:4" x14ac:dyDescent="0.25">
      <c r="A21" s="5" t="s">
        <v>25</v>
      </c>
      <c r="B21" s="6" t="s">
        <v>14</v>
      </c>
      <c r="C21" s="9">
        <v>8.22</v>
      </c>
      <c r="D21" s="9">
        <v>0</v>
      </c>
    </row>
    <row r="22" spans="1:4" x14ac:dyDescent="0.25">
      <c r="A22" s="11" t="s">
        <v>26</v>
      </c>
      <c r="B22" s="6" t="s">
        <v>14</v>
      </c>
      <c r="C22" s="12">
        <v>61.46</v>
      </c>
      <c r="D22" s="12">
        <v>2</v>
      </c>
    </row>
    <row r="23" spans="1:4" x14ac:dyDescent="0.25">
      <c r="A23" s="5" t="s">
        <v>27</v>
      </c>
      <c r="B23" s="6" t="s">
        <v>28</v>
      </c>
      <c r="C23" s="13">
        <v>1.5818</v>
      </c>
      <c r="D23" s="13">
        <v>1</v>
      </c>
    </row>
    <row r="24" spans="1:4" x14ac:dyDescent="0.25">
      <c r="A24" s="5" t="s">
        <v>29</v>
      </c>
      <c r="B24" s="6" t="s">
        <v>10</v>
      </c>
      <c r="C24" s="7">
        <v>3</v>
      </c>
      <c r="D24" s="7">
        <v>1</v>
      </c>
    </row>
    <row r="25" spans="1:1" x14ac:dyDescent="0.25">
      <c r="A25" s="4" t="s">
        <v>30</v>
      </c>
    </row>
    <row r="26" spans="1:4" x14ac:dyDescent="0.25">
      <c r="A26" s="5" t="s">
        <v>31</v>
      </c>
      <c r="B26" s="6" t="s">
        <v>12</v>
      </c>
      <c r="C26" s="8">
        <v>0</v>
      </c>
      <c r="D26" s="8">
        <v>0</v>
      </c>
    </row>
    <row r="27" spans="1:4" x14ac:dyDescent="0.25">
      <c r="A27" s="5" t="s">
        <v>32</v>
      </c>
      <c r="B27" s="6" t="s">
        <v>14</v>
      </c>
      <c r="C27" s="9">
        <v>0</v>
      </c>
      <c r="D27" s="9">
        <v>0</v>
      </c>
    </row>
    <row r="28" spans="1:4" x14ac:dyDescent="0.25">
      <c r="A28" s="5" t="s">
        <v>33</v>
      </c>
      <c r="B28" s="6" t="s">
        <v>12</v>
      </c>
      <c r="C28" s="8">
        <v>150</v>
      </c>
      <c r="D28" s="8">
        <v>0</v>
      </c>
    </row>
    <row r="29" spans="1:4" x14ac:dyDescent="0.25">
      <c r="A29" s="5" t="s">
        <v>34</v>
      </c>
      <c r="B29" s="6" t="s">
        <v>14</v>
      </c>
      <c r="C29" s="9">
        <v>555.75</v>
      </c>
      <c r="D29" s="9">
        <v>0</v>
      </c>
    </row>
    <row r="30" spans="1:4" x14ac:dyDescent="0.25">
      <c r="A30" s="5" t="s">
        <v>35</v>
      </c>
      <c r="B30" s="6" t="s">
        <v>14</v>
      </c>
      <c r="C30" s="10">
        <v>3.705</v>
      </c>
      <c r="D30" s="10">
        <v>0</v>
      </c>
    </row>
    <row r="31" spans="1:1" x14ac:dyDescent="0.25">
      <c r="A31" s="4" t="s">
        <v>36</v>
      </c>
    </row>
    <row r="32" spans="1:4" x14ac:dyDescent="0.25">
      <c r="A32" s="5" t="s">
        <v>37</v>
      </c>
      <c r="B32" s="6" t="s">
        <v>14</v>
      </c>
      <c r="C32" s="9">
        <v>0</v>
      </c>
      <c r="D32" s="9">
        <v>0</v>
      </c>
    </row>
    <row r="33" spans="1:4" x14ac:dyDescent="0.25">
      <c r="A33" s="5" t="s">
        <v>38</v>
      </c>
      <c r="B33" s="6" t="s">
        <v>14</v>
      </c>
      <c r="C33" s="9">
        <v>-494.29</v>
      </c>
      <c r="D33" s="9">
        <v>2</v>
      </c>
    </row>
    <row r="34" spans="1:4" x14ac:dyDescent="0.25">
      <c r="A34" s="5" t="s">
        <v>39</v>
      </c>
      <c r="B34" s="6" t="s">
        <v>14</v>
      </c>
      <c r="C34" s="9">
        <v>555.75</v>
      </c>
      <c r="D34" s="9">
        <v>0</v>
      </c>
    </row>
    <row r="35" spans="1:4" x14ac:dyDescent="0.25">
      <c r="A35" s="5" t="s">
        <v>40</v>
      </c>
      <c r="B35" s="6" t="s">
        <v>14</v>
      </c>
      <c r="C35" s="9">
        <v>0</v>
      </c>
      <c r="D35" s="9">
        <v>0</v>
      </c>
    </row>
    <row r="37" spans="1:3" x14ac:dyDescent="0.25">
      <c r="A37" s="14" t="s">
        <v>41</v>
      </c>
      <c r="C37">
        <v>10</v>
      </c>
    </row>
    <row r="38" spans="1:3" x14ac:dyDescent="0.25">
      <c r="A38" s="14" t="s">
        <v>42</v>
      </c>
      <c r="C38">
        <v>8</v>
      </c>
    </row>
    <row r="39" spans="1:3" x14ac:dyDescent="0.25">
      <c r="A39" s="14" t="s">
        <v>43</v>
      </c>
      <c r="C39">
        <v>2</v>
      </c>
    </row>
    <row r="40" spans="1:3" x14ac:dyDescent="0.25">
      <c r="A40" s="14" t="s">
        <v>44</v>
      </c>
      <c r="C40" t="s">
        <v>45</v>
      </c>
    </row>
  </sheetData>
  <mergeCells count="4">
    <mergeCell ref="A1:D1"/>
    <mergeCell ref="A2:D2"/>
    <mergeCell ref="A3:D3"/>
    <mergeCell ref="A4:D4"/>
  </mergeCells>
  <pageMargins left="0.4" right="0.4" top="0.5" bottom="0.5" header="0.2" footer="0.2"/>
  <pageSetup paperSize="9" orientation="landscape" fitToWidth="1" fitToHeight="0"/>
  <headerFooter>
    <oddFooter>ArbiTrack P2P · Resumen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T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" customWidth="1"/>
    <col min="3" max="3" width="24" customWidth="1"/>
    <col min="4" max="4" width="18" customWidth="1"/>
    <col min="6" max="6" width="11" customWidth="1"/>
    <col min="7" max="7" width="16" customWidth="1"/>
    <col min="8" max="8" width="12" customWidth="1"/>
    <col min="9" max="9" width="15" customWidth="1"/>
    <col min="10" max="10" width="12" customWidth="1"/>
    <col min="11" max="11" width="10" customWidth="1"/>
    <col min="12" max="12" width="14" customWidth="1"/>
    <col min="13" max="13" width="11" customWidth="1"/>
    <col min="14" max="14" width="26" customWidth="1"/>
    <col min="15" max="16" width="14" customWidth="1"/>
    <col min="17" max="17" width="16" customWidth="1"/>
    <col min="19" max="19" width="22" customWidth="1"/>
    <col min="20" max="20" width="26" customWidth="1"/>
  </cols>
  <sheetData>
    <row r="1" spans="1:20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ht="30" customHeight="1" spans="1:20" x14ac:dyDescent="0.25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  <c r="M5" s="15" t="s">
        <v>60</v>
      </c>
      <c r="N5" s="15" t="s">
        <v>61</v>
      </c>
      <c r="O5" s="15" t="s">
        <v>62</v>
      </c>
      <c r="P5" s="15" t="s">
        <v>63</v>
      </c>
      <c r="Q5" s="15" t="s">
        <v>64</v>
      </c>
      <c r="R5" s="15" t="s">
        <v>65</v>
      </c>
      <c r="S5" s="15" t="s">
        <v>66</v>
      </c>
      <c r="T5" s="15" t="s">
        <v>67</v>
      </c>
    </row>
    <row r="6" spans="1:20" x14ac:dyDescent="0.25">
      <c r="A6" s="16">
        <v>46267.3837962963</v>
      </c>
      <c r="B6" s="17" t="s">
        <v>68</v>
      </c>
      <c r="C6" s="17" t="s">
        <v>69</v>
      </c>
      <c r="D6" s="17" t="s">
        <v>70</v>
      </c>
      <c r="E6" s="18" t="s">
        <v>71</v>
      </c>
      <c r="F6" s="17" t="s">
        <v>6</v>
      </c>
      <c r="G6" s="19">
        <v>500</v>
      </c>
      <c r="H6" s="20">
        <v>3.7</v>
      </c>
      <c r="I6" s="21">
        <v>1850</v>
      </c>
      <c r="J6" s="19">
        <v>0.25</v>
      </c>
      <c r="K6" s="17" t="s">
        <v>72</v>
      </c>
      <c r="L6" s="21">
        <v>0.92</v>
      </c>
      <c r="M6" s="17" t="s">
        <v>73</v>
      </c>
      <c r="N6" s="17" t="s">
        <v>74</v>
      </c>
      <c r="O6" s="21"/>
      <c r="P6" s="21"/>
      <c r="Q6" s="17" t="s">
        <v>75</v>
      </c>
      <c r="R6" s="17" t="s">
        <v>76</v>
      </c>
      <c r="S6" s="17" t="s">
        <v>77</v>
      </c>
      <c r="T6" s="17" t="s">
        <v>78</v>
      </c>
    </row>
    <row r="7" spans="1:20" x14ac:dyDescent="0.25">
      <c r="A7" s="22">
        <v>46267.41887731482</v>
      </c>
      <c r="B7" s="23" t="s">
        <v>68</v>
      </c>
      <c r="C7" s="23" t="s">
        <v>79</v>
      </c>
      <c r="D7" s="23" t="s">
        <v>80</v>
      </c>
      <c r="E7" s="24" t="s">
        <v>71</v>
      </c>
      <c r="F7" s="23" t="s">
        <v>6</v>
      </c>
      <c r="G7" s="25">
        <v>300</v>
      </c>
      <c r="H7" s="26">
        <v>3.715</v>
      </c>
      <c r="I7" s="27">
        <v>1114.5</v>
      </c>
      <c r="J7" s="25">
        <v>0.15</v>
      </c>
      <c r="K7" s="23" t="s">
        <v>72</v>
      </c>
      <c r="L7" s="27">
        <v>0.56</v>
      </c>
      <c r="M7" s="23" t="s">
        <v>73</v>
      </c>
      <c r="N7" s="23" t="s">
        <v>81</v>
      </c>
      <c r="O7" s="27"/>
      <c r="P7" s="27"/>
      <c r="Q7" s="23" t="s">
        <v>75</v>
      </c>
      <c r="R7" s="23" t="s">
        <v>76</v>
      </c>
      <c r="S7" s="23" t="s">
        <v>82</v>
      </c>
      <c r="T7" s="23" t="s">
        <v>83</v>
      </c>
    </row>
    <row r="8" spans="1:20" x14ac:dyDescent="0.25">
      <c r="A8" s="16">
        <v>46267.56946759259</v>
      </c>
      <c r="B8" s="17" t="s">
        <v>68</v>
      </c>
      <c r="C8" s="17" t="s">
        <v>84</v>
      </c>
      <c r="D8" s="17" t="s">
        <v>85</v>
      </c>
      <c r="E8" s="28" t="s">
        <v>86</v>
      </c>
      <c r="F8" s="17" t="s">
        <v>6</v>
      </c>
      <c r="G8" s="19">
        <v>500</v>
      </c>
      <c r="H8" s="20">
        <v>3.772</v>
      </c>
      <c r="I8" s="21">
        <v>1886</v>
      </c>
      <c r="J8" s="19">
        <v>0</v>
      </c>
      <c r="K8" s="17" t="s">
        <v>75</v>
      </c>
      <c r="L8" s="21">
        <v>0</v>
      </c>
      <c r="M8" s="17" t="s">
        <v>73</v>
      </c>
      <c r="N8" s="17" t="s">
        <v>74</v>
      </c>
      <c r="O8" s="21">
        <v>36</v>
      </c>
      <c r="P8" s="21">
        <v>35.07</v>
      </c>
      <c r="Q8" s="17" t="s">
        <v>75</v>
      </c>
      <c r="R8" s="17" t="s">
        <v>76</v>
      </c>
      <c r="S8" s="17" t="s">
        <v>87</v>
      </c>
      <c r="T8" s="17" t="s">
        <v>88</v>
      </c>
    </row>
    <row r="9" spans="1:20" x14ac:dyDescent="0.25">
      <c r="A9" s="22">
        <v>46268.5</v>
      </c>
      <c r="B9" s="23" t="s">
        <v>68</v>
      </c>
      <c r="C9" s="23" t="s">
        <v>89</v>
      </c>
      <c r="D9" s="23" t="s">
        <v>90</v>
      </c>
      <c r="E9" s="24" t="s">
        <v>71</v>
      </c>
      <c r="F9" s="23" t="s">
        <v>7</v>
      </c>
      <c r="G9" s="25">
        <v>200</v>
      </c>
      <c r="H9" s="26">
        <v>1</v>
      </c>
      <c r="I9" s="27">
        <v>200</v>
      </c>
      <c r="J9" s="25">
        <v>0</v>
      </c>
      <c r="K9" s="23" t="s">
        <v>75</v>
      </c>
      <c r="L9" s="27">
        <v>0</v>
      </c>
      <c r="M9" s="23" t="s">
        <v>73</v>
      </c>
      <c r="N9" s="23" t="s">
        <v>91</v>
      </c>
      <c r="O9" s="27"/>
      <c r="P9" s="27"/>
      <c r="Q9" s="23" t="s">
        <v>75</v>
      </c>
      <c r="R9" s="23" t="s">
        <v>76</v>
      </c>
      <c r="S9" s="23" t="s">
        <v>92</v>
      </c>
      <c r="T9" s="23" t="s">
        <v>93</v>
      </c>
    </row>
    <row r="10" spans="1:20" x14ac:dyDescent="0.25">
      <c r="A10" s="16">
        <v>46268.76527777778</v>
      </c>
      <c r="B10" s="17" t="s">
        <v>94</v>
      </c>
      <c r="C10" s="17" t="s">
        <v>95</v>
      </c>
      <c r="D10" s="17" t="s">
        <v>96</v>
      </c>
      <c r="E10" s="28" t="s">
        <v>86</v>
      </c>
      <c r="F10" s="17" t="s">
        <v>6</v>
      </c>
      <c r="G10" s="19">
        <v>298.6</v>
      </c>
      <c r="H10" s="20">
        <v>3.78</v>
      </c>
      <c r="I10" s="21">
        <v>1128.71</v>
      </c>
      <c r="J10" s="19">
        <v>0</v>
      </c>
      <c r="K10" s="17" t="s">
        <v>75</v>
      </c>
      <c r="L10" s="21">
        <v>0</v>
      </c>
      <c r="M10" s="17" t="s">
        <v>73</v>
      </c>
      <c r="N10" s="17" t="s">
        <v>97</v>
      </c>
      <c r="O10" s="21">
        <v>19.41</v>
      </c>
      <c r="P10" s="21">
        <v>18.86</v>
      </c>
      <c r="Q10" s="17" t="s">
        <v>75</v>
      </c>
      <c r="R10" s="17" t="s">
        <v>76</v>
      </c>
      <c r="S10" s="17" t="s">
        <v>98</v>
      </c>
      <c r="T10" s="17" t="s">
        <v>99</v>
      </c>
    </row>
    <row r="11" spans="1:20" x14ac:dyDescent="0.25">
      <c r="A11" s="22">
        <v>46269.5</v>
      </c>
      <c r="B11" s="23" t="s">
        <v>68</v>
      </c>
      <c r="C11" s="23" t="s">
        <v>100</v>
      </c>
      <c r="D11" s="23" t="s">
        <v>101</v>
      </c>
      <c r="E11" s="29" t="s">
        <v>86</v>
      </c>
      <c r="F11" s="23" t="s">
        <v>7</v>
      </c>
      <c r="G11" s="25">
        <v>200</v>
      </c>
      <c r="H11" s="26">
        <v>1.01</v>
      </c>
      <c r="I11" s="27">
        <v>202</v>
      </c>
      <c r="J11" s="25">
        <v>0</v>
      </c>
      <c r="K11" s="23" t="s">
        <v>75</v>
      </c>
      <c r="L11" s="27">
        <v>0</v>
      </c>
      <c r="M11" s="23" t="s">
        <v>73</v>
      </c>
      <c r="N11" s="23" t="s">
        <v>91</v>
      </c>
      <c r="O11" s="27">
        <v>2</v>
      </c>
      <c r="P11" s="27">
        <v>2</v>
      </c>
      <c r="Q11" s="23" t="s">
        <v>75</v>
      </c>
      <c r="R11" s="23" t="s">
        <v>76</v>
      </c>
      <c r="S11" s="23" t="s">
        <v>102</v>
      </c>
      <c r="T11" s="23" t="s">
        <v>103</v>
      </c>
    </row>
    <row r="12" spans="1:20" x14ac:dyDescent="0.25">
      <c r="A12" s="16">
        <v>46280.375</v>
      </c>
      <c r="B12" s="17" t="s">
        <v>94</v>
      </c>
      <c r="C12" s="17" t="s">
        <v>104</v>
      </c>
      <c r="D12" s="17" t="s">
        <v>105</v>
      </c>
      <c r="E12" s="18" t="s">
        <v>71</v>
      </c>
      <c r="F12" s="17" t="s">
        <v>6</v>
      </c>
      <c r="G12" s="19">
        <v>400</v>
      </c>
      <c r="H12" s="20">
        <v>3.705</v>
      </c>
      <c r="I12" s="21">
        <v>1482</v>
      </c>
      <c r="J12" s="19">
        <v>0</v>
      </c>
      <c r="K12" s="17" t="s">
        <v>75</v>
      </c>
      <c r="L12" s="21">
        <v>0</v>
      </c>
      <c r="M12" s="17" t="s">
        <v>73</v>
      </c>
      <c r="N12" s="17" t="s">
        <v>106</v>
      </c>
      <c r="O12" s="21"/>
      <c r="P12" s="21"/>
      <c r="Q12" s="17" t="s">
        <v>75</v>
      </c>
      <c r="R12" s="17" t="s">
        <v>76</v>
      </c>
      <c r="S12" s="17" t="s">
        <v>107</v>
      </c>
      <c r="T12" s="17" t="s">
        <v>108</v>
      </c>
    </row>
    <row r="13" spans="1:20" x14ac:dyDescent="0.25">
      <c r="A13" s="22">
        <v>46281.4375</v>
      </c>
      <c r="B13" s="23" t="s">
        <v>94</v>
      </c>
      <c r="C13" s="23" t="s">
        <v>109</v>
      </c>
      <c r="D13" s="23" t="s">
        <v>110</v>
      </c>
      <c r="E13" s="29" t="s">
        <v>86</v>
      </c>
      <c r="F13" s="23" t="s">
        <v>6</v>
      </c>
      <c r="G13" s="25">
        <v>250</v>
      </c>
      <c r="H13" s="26">
        <v>3.768</v>
      </c>
      <c r="I13" s="27">
        <v>942</v>
      </c>
      <c r="J13" s="25">
        <v>0</v>
      </c>
      <c r="K13" s="23" t="s">
        <v>75</v>
      </c>
      <c r="L13" s="27">
        <v>0</v>
      </c>
      <c r="M13" s="23" t="s">
        <v>73</v>
      </c>
      <c r="N13" s="23" t="s">
        <v>106</v>
      </c>
      <c r="O13" s="27">
        <v>15.75</v>
      </c>
      <c r="P13" s="27">
        <v>15.75</v>
      </c>
      <c r="Q13" s="23" t="s">
        <v>75</v>
      </c>
      <c r="R13" s="23" t="s">
        <v>76</v>
      </c>
      <c r="S13" s="23" t="s">
        <v>111</v>
      </c>
      <c r="T13" s="23" t="s">
        <v>112</v>
      </c>
    </row>
  </sheetData>
  <autoFilter ref="A5:T13"/>
  <mergeCells count="3">
    <mergeCell ref="A1:T1"/>
    <mergeCell ref="A2:T2"/>
    <mergeCell ref="A3:T3"/>
  </mergeCells>
  <pageMargins left="0.4" right="0.4" top="0.5" bottom="0.5" header="0.2" footer="0.2"/>
  <pageSetup paperSize="9" orientation="landscape" fitToWidth="1" fitToHeight="0"/>
  <headerFooter>
    <oddFooter>ArbiTrack P2P · Operaciones ·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U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11" customWidth="1"/>
    <col min="5" max="6" width="20" customWidth="1"/>
    <col min="7" max="7" width="18" customWidth="1"/>
    <col min="8" max="8" width="14" customWidth="1"/>
    <col min="9" max="9" width="15" customWidth="1"/>
    <col min="10" max="10" width="13" customWidth="1"/>
    <col min="11" max="11" width="12" customWidth="1"/>
    <col min="12" max="14" width="14" customWidth="1"/>
    <col min="15" max="16" width="12" customWidth="1"/>
    <col min="17" max="17" width="14" customWidth="1"/>
    <col min="18" max="18" width="11" customWidth="1"/>
    <col min="19" max="19" width="15" customWidth="1"/>
    <col min="20" max="20" width="30" customWidth="1"/>
    <col min="21" max="21" width="26" customWidth="1"/>
  </cols>
  <sheetData>
    <row r="1" spans="1:21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">
        <v>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 t="s">
        <v>115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6" ht="30" customHeight="1" spans="1:21" x14ac:dyDescent="0.25">
      <c r="A6" s="15" t="s">
        <v>61</v>
      </c>
      <c r="B6" s="15" t="s">
        <v>52</v>
      </c>
      <c r="C6" s="15" t="s">
        <v>53</v>
      </c>
      <c r="D6" s="15" t="s">
        <v>60</v>
      </c>
      <c r="E6" s="15" t="s">
        <v>116</v>
      </c>
      <c r="F6" s="15" t="s">
        <v>117</v>
      </c>
      <c r="G6" s="15" t="s">
        <v>118</v>
      </c>
      <c r="H6" s="15" t="s">
        <v>119</v>
      </c>
      <c r="I6" s="15" t="s">
        <v>120</v>
      </c>
      <c r="J6" s="15" t="s">
        <v>121</v>
      </c>
      <c r="K6" s="15" t="s">
        <v>122</v>
      </c>
      <c r="L6" s="15" t="s">
        <v>123</v>
      </c>
      <c r="M6" s="15" t="s">
        <v>124</v>
      </c>
      <c r="N6" s="15" t="s">
        <v>125</v>
      </c>
      <c r="O6" s="15" t="s">
        <v>126</v>
      </c>
      <c r="P6" s="15" t="s">
        <v>127</v>
      </c>
      <c r="Q6" s="15" t="s">
        <v>128</v>
      </c>
      <c r="R6" s="15" t="s">
        <v>129</v>
      </c>
      <c r="S6" s="15" t="s">
        <v>130</v>
      </c>
      <c r="T6" s="15" t="s">
        <v>131</v>
      </c>
      <c r="U6" s="15" t="s">
        <v>132</v>
      </c>
    </row>
    <row r="7" spans="1:21" x14ac:dyDescent="0.25">
      <c r="A7" s="17" t="s">
        <v>74</v>
      </c>
      <c r="B7" s="17" t="s">
        <v>133</v>
      </c>
      <c r="C7" s="17" t="s">
        <v>6</v>
      </c>
      <c r="D7" s="30" t="s">
        <v>134</v>
      </c>
      <c r="E7" s="16">
        <v>46267.3837962963</v>
      </c>
      <c r="F7" s="16">
        <v>46267.56946759259</v>
      </c>
      <c r="G7" s="17" t="s">
        <v>68</v>
      </c>
      <c r="H7" s="17" t="s">
        <v>68</v>
      </c>
      <c r="I7" s="19">
        <v>500</v>
      </c>
      <c r="J7" s="20">
        <v>3.7000075</v>
      </c>
      <c r="K7" s="20">
        <v>3.772</v>
      </c>
      <c r="L7" s="21">
        <v>1886</v>
      </c>
      <c r="M7" s="21">
        <v>1850</v>
      </c>
      <c r="N7" s="21">
        <v>36</v>
      </c>
      <c r="O7" s="21">
        <v>0.93</v>
      </c>
      <c r="P7" s="21">
        <v>0</v>
      </c>
      <c r="Q7" s="31">
        <v>35.07</v>
      </c>
      <c r="R7" s="32">
        <v>1.8957</v>
      </c>
      <c r="S7" s="21">
        <f>SUMIFS($Q$7:Q7,$C$7:C7,C7)</f>
        <v>35.07</v>
      </c>
      <c r="T7" s="17" t="s">
        <v>135</v>
      </c>
      <c r="U7" s="17" t="s">
        <v>88</v>
      </c>
    </row>
    <row r="8" spans="1:21" x14ac:dyDescent="0.25">
      <c r="A8" s="23" t="s">
        <v>97</v>
      </c>
      <c r="B8" s="23" t="s">
        <v>133</v>
      </c>
      <c r="C8" s="23" t="s">
        <v>6</v>
      </c>
      <c r="D8" s="33" t="s">
        <v>134</v>
      </c>
      <c r="E8" s="22">
        <v>46267.41887731482</v>
      </c>
      <c r="F8" s="22">
        <v>46268.76527777778</v>
      </c>
      <c r="G8" s="23" t="s">
        <v>68</v>
      </c>
      <c r="H8" s="23" t="s">
        <v>94</v>
      </c>
      <c r="I8" s="25">
        <v>298.6</v>
      </c>
      <c r="J8" s="26">
        <v>3.715</v>
      </c>
      <c r="K8" s="26">
        <v>3.78</v>
      </c>
      <c r="L8" s="27">
        <v>1128.71</v>
      </c>
      <c r="M8" s="27">
        <v>1109.3</v>
      </c>
      <c r="N8" s="27">
        <v>19.41</v>
      </c>
      <c r="O8" s="27">
        <v>0.55</v>
      </c>
      <c r="P8" s="27">
        <v>0</v>
      </c>
      <c r="Q8" s="34">
        <v>18.86</v>
      </c>
      <c r="R8" s="35">
        <v>1.6998</v>
      </c>
      <c r="S8" s="27">
        <f>SUMIFS($Q$7:Q8,$C$7:C8,C8)</f>
        <v>53.93</v>
      </c>
      <c r="T8" s="23" t="s">
        <v>83</v>
      </c>
      <c r="U8" s="23" t="s">
        <v>99</v>
      </c>
    </row>
    <row r="9" spans="1:21" x14ac:dyDescent="0.25">
      <c r="A9" s="17" t="s">
        <v>91</v>
      </c>
      <c r="B9" s="17" t="s">
        <v>133</v>
      </c>
      <c r="C9" s="17" t="s">
        <v>7</v>
      </c>
      <c r="D9" s="30" t="s">
        <v>134</v>
      </c>
      <c r="E9" s="16">
        <v>46268.5</v>
      </c>
      <c r="F9" s="16">
        <v>46269.5</v>
      </c>
      <c r="G9" s="17" t="s">
        <v>68</v>
      </c>
      <c r="H9" s="17" t="s">
        <v>68</v>
      </c>
      <c r="I9" s="19">
        <v>200</v>
      </c>
      <c r="J9" s="20">
        <v>1</v>
      </c>
      <c r="K9" s="20">
        <v>1.01</v>
      </c>
      <c r="L9" s="21">
        <v>202</v>
      </c>
      <c r="M9" s="21">
        <v>200</v>
      </c>
      <c r="N9" s="21">
        <v>2</v>
      </c>
      <c r="O9" s="21">
        <v>0</v>
      </c>
      <c r="P9" s="21">
        <v>0</v>
      </c>
      <c r="Q9" s="31">
        <v>2</v>
      </c>
      <c r="R9" s="32">
        <v>1</v>
      </c>
      <c r="S9" s="21">
        <f>SUMIFS($Q$7:Q9,$C$7:C9,C9)</f>
        <v>2</v>
      </c>
      <c r="T9" s="17" t="s">
        <v>93</v>
      </c>
      <c r="U9" s="17" t="s">
        <v>103</v>
      </c>
    </row>
    <row r="10" spans="1:21" x14ac:dyDescent="0.25">
      <c r="A10" s="23" t="s">
        <v>106</v>
      </c>
      <c r="B10" s="23" t="s">
        <v>133</v>
      </c>
      <c r="C10" s="23" t="s">
        <v>6</v>
      </c>
      <c r="D10" s="33" t="s">
        <v>134</v>
      </c>
      <c r="E10" s="22">
        <v>46280.375</v>
      </c>
      <c r="F10" s="22">
        <v>46281.4375</v>
      </c>
      <c r="G10" s="23" t="s">
        <v>94</v>
      </c>
      <c r="H10" s="23" t="s">
        <v>94</v>
      </c>
      <c r="I10" s="25">
        <v>250</v>
      </c>
      <c r="J10" s="26">
        <v>3.705</v>
      </c>
      <c r="K10" s="26">
        <v>3.768</v>
      </c>
      <c r="L10" s="27">
        <v>942</v>
      </c>
      <c r="M10" s="27">
        <v>926.25</v>
      </c>
      <c r="N10" s="27">
        <v>15.75</v>
      </c>
      <c r="O10" s="27">
        <v>0</v>
      </c>
      <c r="P10" s="27">
        <v>0</v>
      </c>
      <c r="Q10" s="34">
        <v>15.75</v>
      </c>
      <c r="R10" s="35">
        <v>1.7004</v>
      </c>
      <c r="S10" s="27">
        <f>SUMIFS($Q$7:Q10,$C$7:C10,C10)</f>
        <v>69.68</v>
      </c>
      <c r="T10" s="23" t="s">
        <v>108</v>
      </c>
      <c r="U10" s="23" t="s">
        <v>112</v>
      </c>
    </row>
  </sheetData>
  <autoFilter ref="A6:U10"/>
  <mergeCells count="4">
    <mergeCell ref="A1:U1"/>
    <mergeCell ref="A2:U2"/>
    <mergeCell ref="A3:U3"/>
    <mergeCell ref="A4:U4"/>
  </mergeCells>
  <pageMargins left="0.4" right="0.4" top="0.5" bottom="0.5" header="0.2" footer="0.2"/>
  <pageSetup paperSize="9" orientation="landscape" fitToWidth="1" fitToHeight="0"/>
  <headerFooter>
    <oddFooter>ArbiTrack P2P · Ciclos ·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  <pageSetUpPr fitToPage="1"/>
  </sheetPr>
  <dimension ref="A1:M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1" customWidth="1"/>
    <col min="3" max="3" width="16" customWidth="1"/>
    <col min="4" max="4" width="26" customWidth="1"/>
    <col min="5" max="5" width="20" customWidth="1"/>
    <col min="6" max="6" width="12" customWidth="1"/>
    <col min="7" max="7" width="26" customWidth="1"/>
    <col min="8" max="8" width="20" customWidth="1"/>
    <col min="9" max="9" width="12" customWidth="1"/>
    <col min="10" max="10" width="15" customWidth="1"/>
    <col min="11" max="11" width="13" customWidth="1"/>
    <col min="12" max="13" width="14" customWidth="1"/>
  </cols>
  <sheetData>
    <row r="1" spans="1:12" x14ac:dyDescent="0.25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30" customHeight="1" spans="1:13" x14ac:dyDescent="0.25">
      <c r="A5" s="15" t="s">
        <v>61</v>
      </c>
      <c r="B5" s="15" t="s">
        <v>53</v>
      </c>
      <c r="C5" s="15" t="s">
        <v>138</v>
      </c>
      <c r="D5" s="15" t="s">
        <v>139</v>
      </c>
      <c r="E5" s="15" t="s">
        <v>140</v>
      </c>
      <c r="F5" s="15" t="s">
        <v>141</v>
      </c>
      <c r="G5" s="15" t="s">
        <v>142</v>
      </c>
      <c r="H5" s="15" t="s">
        <v>143</v>
      </c>
      <c r="I5" s="15" t="s">
        <v>144</v>
      </c>
      <c r="J5" s="15" t="s">
        <v>145</v>
      </c>
      <c r="K5" s="15" t="s">
        <v>146</v>
      </c>
      <c r="L5" s="15" t="s">
        <v>147</v>
      </c>
      <c r="M5" s="15" t="s">
        <v>148</v>
      </c>
    </row>
    <row r="6" spans="1:13" x14ac:dyDescent="0.25">
      <c r="A6" s="17" t="s">
        <v>74</v>
      </c>
      <c r="B6" s="17" t="s">
        <v>6</v>
      </c>
      <c r="C6" s="17" t="s">
        <v>149</v>
      </c>
      <c r="D6" s="17" t="s">
        <v>88</v>
      </c>
      <c r="E6" s="16">
        <v>46267.56946759259</v>
      </c>
      <c r="F6" s="17" t="s">
        <v>68</v>
      </c>
      <c r="G6" s="17" t="s">
        <v>78</v>
      </c>
      <c r="H6" s="16">
        <v>46267.3837962963</v>
      </c>
      <c r="I6" s="17" t="s">
        <v>68</v>
      </c>
      <c r="J6" s="19">
        <v>499.75</v>
      </c>
      <c r="K6" s="20">
        <v>3.7</v>
      </c>
      <c r="L6" s="21">
        <v>1849.075</v>
      </c>
      <c r="M6" s="21">
        <v>0.925</v>
      </c>
    </row>
    <row r="7" spans="1:13" x14ac:dyDescent="0.25">
      <c r="A7" s="23" t="s">
        <v>74</v>
      </c>
      <c r="B7" s="23" t="s">
        <v>6</v>
      </c>
      <c r="C7" s="23" t="s">
        <v>149</v>
      </c>
      <c r="D7" s="23" t="s">
        <v>88</v>
      </c>
      <c r="E7" s="22">
        <v>46267.56946759259</v>
      </c>
      <c r="F7" s="23" t="s">
        <v>68</v>
      </c>
      <c r="G7" s="23" t="s">
        <v>83</v>
      </c>
      <c r="H7" s="22">
        <v>46267.41887731482</v>
      </c>
      <c r="I7" s="23" t="s">
        <v>68</v>
      </c>
      <c r="J7" s="25">
        <v>0.25</v>
      </c>
      <c r="K7" s="26">
        <v>3.715</v>
      </c>
      <c r="L7" s="27">
        <v>0.92875</v>
      </c>
      <c r="M7" s="27">
        <v>0.00046461</v>
      </c>
    </row>
    <row r="8" spans="1:13" x14ac:dyDescent="0.25">
      <c r="A8" s="17" t="s">
        <v>97</v>
      </c>
      <c r="B8" s="17" t="s">
        <v>6</v>
      </c>
      <c r="C8" s="17" t="s">
        <v>149</v>
      </c>
      <c r="D8" s="17" t="s">
        <v>99</v>
      </c>
      <c r="E8" s="16">
        <v>46268.76527777778</v>
      </c>
      <c r="F8" s="17" t="s">
        <v>94</v>
      </c>
      <c r="G8" s="17" t="s">
        <v>83</v>
      </c>
      <c r="H8" s="16">
        <v>46267.41887731482</v>
      </c>
      <c r="I8" s="17" t="s">
        <v>68</v>
      </c>
      <c r="J8" s="19">
        <v>298.6</v>
      </c>
      <c r="K8" s="20">
        <v>3.715</v>
      </c>
      <c r="L8" s="21">
        <v>1109.299</v>
      </c>
      <c r="M8" s="21">
        <v>0.55492696</v>
      </c>
    </row>
    <row r="9" spans="1:13" x14ac:dyDescent="0.25">
      <c r="A9" s="23" t="s">
        <v>106</v>
      </c>
      <c r="B9" s="23" t="s">
        <v>6</v>
      </c>
      <c r="C9" s="23" t="s">
        <v>149</v>
      </c>
      <c r="D9" s="23" t="s">
        <v>112</v>
      </c>
      <c r="E9" s="22">
        <v>46281.4375</v>
      </c>
      <c r="F9" s="23" t="s">
        <v>94</v>
      </c>
      <c r="G9" s="23" t="s">
        <v>108</v>
      </c>
      <c r="H9" s="22">
        <v>46280.375</v>
      </c>
      <c r="I9" s="23" t="s">
        <v>94</v>
      </c>
      <c r="J9" s="25">
        <v>250</v>
      </c>
      <c r="K9" s="26">
        <v>3.705</v>
      </c>
      <c r="L9" s="27">
        <v>926.25</v>
      </c>
      <c r="M9" s="27">
        <v>0</v>
      </c>
    </row>
    <row r="10" spans="1:13" x14ac:dyDescent="0.25">
      <c r="A10" s="17" t="s">
        <v>91</v>
      </c>
      <c r="B10" s="17" t="s">
        <v>7</v>
      </c>
      <c r="C10" s="17" t="s">
        <v>149</v>
      </c>
      <c r="D10" s="17" t="s">
        <v>103</v>
      </c>
      <c r="E10" s="16">
        <v>46269.5</v>
      </c>
      <c r="F10" s="17" t="s">
        <v>68</v>
      </c>
      <c r="G10" s="17" t="s">
        <v>93</v>
      </c>
      <c r="H10" s="16">
        <v>46268.5</v>
      </c>
      <c r="I10" s="17" t="s">
        <v>68</v>
      </c>
      <c r="J10" s="19">
        <v>200</v>
      </c>
      <c r="K10" s="20">
        <v>1</v>
      </c>
      <c r="L10" s="21">
        <v>200</v>
      </c>
      <c r="M10" s="21">
        <v>0</v>
      </c>
    </row>
  </sheetData>
  <autoFilter ref="A5:M10"/>
  <mergeCells count="3">
    <mergeCell ref="A1:L1"/>
    <mergeCell ref="A2:L2"/>
    <mergeCell ref="A3:L3"/>
  </mergeCells>
  <pageMargins left="0.4" right="0.4" top="0.5" bottom="0.5" header="0.2" footer="0.2"/>
  <pageSetup paperSize="9" orientation="landscape" fitToWidth="1" fitToHeight="0"/>
  <headerFooter>
    <oddFooter>ArbiTrack P2P · Trazabilidad FIFO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  <pageSetUpPr fitToPage="1"/>
  </sheetPr>
  <dimension ref="A1:L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0" customWidth="1"/>
    <col min="4" max="7" width="16" customWidth="1"/>
    <col min="8" max="9" width="14" customWidth="1"/>
    <col min="10" max="10" width="12" customWidth="1"/>
    <col min="11" max="11" width="14" customWidth="1"/>
    <col min="12" max="12" width="16" customWidth="1"/>
  </cols>
  <sheetData>
    <row r="1" spans="1:12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151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30" customHeight="1" spans="1:12" x14ac:dyDescent="0.25">
      <c r="A5" s="15" t="s">
        <v>53</v>
      </c>
      <c r="B5" s="15" t="s">
        <v>152</v>
      </c>
      <c r="C5" s="15" t="s">
        <v>153</v>
      </c>
      <c r="D5" s="15" t="s">
        <v>11</v>
      </c>
      <c r="E5" s="15" t="s">
        <v>154</v>
      </c>
      <c r="F5" s="15" t="s">
        <v>17</v>
      </c>
      <c r="G5" s="15" t="s">
        <v>155</v>
      </c>
      <c r="H5" s="15" t="s">
        <v>156</v>
      </c>
      <c r="I5" s="15" t="s">
        <v>125</v>
      </c>
      <c r="J5" s="15" t="s">
        <v>127</v>
      </c>
      <c r="K5" s="15" t="s">
        <v>128</v>
      </c>
      <c r="L5" s="15" t="s">
        <v>157</v>
      </c>
    </row>
    <row r="6" spans="1:12" x14ac:dyDescent="0.25">
      <c r="A6" s="17" t="s">
        <v>6</v>
      </c>
      <c r="B6" s="17" t="s">
        <v>72</v>
      </c>
      <c r="C6" s="17" t="s">
        <v>158</v>
      </c>
      <c r="D6" s="19">
        <f>SUMIFS(Operaciones!$G$6:$G$13,Operaciones!$F$6:$F$13,"USDT/PEN",Operaciones!$E$6:$E$13,"Compra")</f>
        <v>1200</v>
      </c>
      <c r="E6" s="21">
        <f>SUMIFS(Operaciones!$I$6:$I$13,Operaciones!$F$6:$F$13,"USDT/PEN",Operaciones!$E$6:$E$13,"Compra")</f>
        <v>4446.5</v>
      </c>
      <c r="F6" s="19">
        <f>SUMIFS(Operaciones!$G$6:$G$13,Operaciones!$F$6:$F$13,"USDT/PEN",Operaciones!$E$6:$E$13,"Venta")</f>
        <v>1048.6</v>
      </c>
      <c r="G6" s="21">
        <f>SUMIFS(Operaciones!$I$6:$I$13,Operaciones!$F$6:$F$13,"USDT/PEN",Operaciones!$E$6:$E$13,"Venta")</f>
        <v>3956.71</v>
      </c>
      <c r="H6" s="21">
        <f>SUMIFS(Operaciones!$L$6:$L$13,Operaciones!$F$6:$F$13,"USDT/PEN")</f>
        <v>1.48</v>
      </c>
      <c r="I6" s="21">
        <v>71.16</v>
      </c>
      <c r="J6" s="21">
        <v>8.22</v>
      </c>
      <c r="K6" s="31">
        <v>61.46</v>
      </c>
      <c r="L6" s="19">
        <v>150</v>
      </c>
    </row>
    <row r="7" spans="1:12" x14ac:dyDescent="0.25">
      <c r="A7" s="23" t="s">
        <v>7</v>
      </c>
      <c r="B7" s="23" t="s">
        <v>72</v>
      </c>
      <c r="C7" s="23" t="s">
        <v>159</v>
      </c>
      <c r="D7" s="25">
        <f>SUMIFS(Operaciones!$G$6:$G$13,Operaciones!$F$6:$F$13,"USDT/USD",Operaciones!$E$6:$E$13,"Compra")</f>
        <v>200</v>
      </c>
      <c r="E7" s="27">
        <f>SUMIFS(Operaciones!$I$6:$I$13,Operaciones!$F$6:$F$13,"USDT/USD",Operaciones!$E$6:$E$13,"Compra")</f>
        <v>200</v>
      </c>
      <c r="F7" s="25">
        <f>SUMIFS(Operaciones!$G$6:$G$13,Operaciones!$F$6:$F$13,"USDT/USD",Operaciones!$E$6:$E$13,"Venta")</f>
        <v>200</v>
      </c>
      <c r="G7" s="27">
        <f>SUMIFS(Operaciones!$I$6:$I$13,Operaciones!$F$6:$F$13,"USDT/USD",Operaciones!$E$6:$E$13,"Venta")</f>
        <v>202</v>
      </c>
      <c r="H7" s="27">
        <f>SUMIFS(Operaciones!$L$6:$L$13,Operaciones!$F$6:$F$13,"USDT/USD")</f>
        <v>0</v>
      </c>
      <c r="I7" s="27">
        <v>2</v>
      </c>
      <c r="J7" s="27">
        <v>0</v>
      </c>
      <c r="K7" s="34">
        <v>2</v>
      </c>
      <c r="L7" s="25">
        <v>0</v>
      </c>
    </row>
  </sheetData>
  <autoFilter ref="A5:L7"/>
  <mergeCells count="3">
    <mergeCell ref="A1:L1"/>
    <mergeCell ref="A2:L2"/>
    <mergeCell ref="A3:L3"/>
  </mergeCells>
  <pageMargins left="0.4" right="0.4" top="0.5" bottom="0.5" header="0.2" footer="0.2"/>
  <pageSetup paperSize="9" orientation="landscape" fitToWidth="1" fitToHeight="0"/>
  <headerFooter>
    <oddFooter>ArbiTrack P2P · Por moneda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B8A6"/>
    <pageSetUpPr fitToPage="1"/>
  </sheetPr>
  <dimension ref="A1:L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4" max="4" width="16" customWidth="1"/>
    <col min="5" max="5" width="15" customWidth="1"/>
    <col min="7" max="7" width="16" customWidth="1"/>
    <col min="8" max="8" width="15" customWidth="1"/>
    <col min="9" max="9" width="14" customWidth="1"/>
    <col min="10" max="11" width="16" customWidth="1"/>
  </cols>
  <sheetData>
    <row r="1" spans="1:12" x14ac:dyDescent="0.25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30" customHeight="1" spans="1:11" x14ac:dyDescent="0.25">
      <c r="A5" s="15" t="s">
        <v>53</v>
      </c>
      <c r="B5" s="15" t="s">
        <v>49</v>
      </c>
      <c r="C5" s="15" t="s">
        <v>162</v>
      </c>
      <c r="D5" s="15" t="s">
        <v>11</v>
      </c>
      <c r="E5" s="15" t="s">
        <v>154</v>
      </c>
      <c r="F5" s="15" t="s">
        <v>163</v>
      </c>
      <c r="G5" s="15" t="s">
        <v>17</v>
      </c>
      <c r="H5" s="15" t="s">
        <v>155</v>
      </c>
      <c r="I5" s="15" t="s">
        <v>156</v>
      </c>
      <c r="J5" s="15" t="s">
        <v>164</v>
      </c>
      <c r="K5" s="15" t="s">
        <v>165</v>
      </c>
    </row>
    <row r="6" spans="1:11" x14ac:dyDescent="0.25">
      <c r="A6" s="17" t="s">
        <v>6</v>
      </c>
      <c r="B6" s="17" t="s">
        <v>68</v>
      </c>
      <c r="C6" s="36">
        <v>2</v>
      </c>
      <c r="D6" s="19">
        <v>800</v>
      </c>
      <c r="E6" s="21">
        <v>2964.5</v>
      </c>
      <c r="F6" s="36">
        <v>1</v>
      </c>
      <c r="G6" s="19">
        <v>500</v>
      </c>
      <c r="H6" s="21">
        <v>1886</v>
      </c>
      <c r="I6" s="21">
        <v>1.48</v>
      </c>
      <c r="J6" s="21">
        <v>36</v>
      </c>
      <c r="K6" s="31">
        <v>35.07</v>
      </c>
    </row>
    <row r="7" spans="1:11" x14ac:dyDescent="0.25">
      <c r="A7" s="23" t="s">
        <v>6</v>
      </c>
      <c r="B7" s="23" t="s">
        <v>94</v>
      </c>
      <c r="C7" s="37">
        <v>1</v>
      </c>
      <c r="D7" s="25">
        <v>400</v>
      </c>
      <c r="E7" s="27">
        <v>1482</v>
      </c>
      <c r="F7" s="37">
        <v>2</v>
      </c>
      <c r="G7" s="25">
        <v>548.6</v>
      </c>
      <c r="H7" s="27">
        <v>2070.71</v>
      </c>
      <c r="I7" s="27">
        <v>0</v>
      </c>
      <c r="J7" s="27">
        <v>35.16</v>
      </c>
      <c r="K7" s="34">
        <v>34.61</v>
      </c>
    </row>
    <row r="8" spans="1:11" x14ac:dyDescent="0.25">
      <c r="A8" s="17" t="s">
        <v>7</v>
      </c>
      <c r="B8" s="17" t="s">
        <v>68</v>
      </c>
      <c r="C8" s="36">
        <v>1</v>
      </c>
      <c r="D8" s="19">
        <v>200</v>
      </c>
      <c r="E8" s="21">
        <v>200</v>
      </c>
      <c r="F8" s="36">
        <v>1</v>
      </c>
      <c r="G8" s="19">
        <v>200</v>
      </c>
      <c r="H8" s="21">
        <v>202</v>
      </c>
      <c r="I8" s="21">
        <v>0</v>
      </c>
      <c r="J8" s="21">
        <v>2</v>
      </c>
      <c r="K8" s="31">
        <v>2</v>
      </c>
    </row>
  </sheetData>
  <autoFilter ref="A5:K8"/>
  <mergeCells count="3">
    <mergeCell ref="A1:L1"/>
    <mergeCell ref="A2:L2"/>
    <mergeCell ref="A3:L3"/>
  </mergeCells>
  <pageMargins left="0.4" right="0.4" top="0.5" bottom="0.5" header="0.2" footer="0.2"/>
  <pageSetup paperSize="9" orientation="landscape" fitToWidth="1" fitToHeight="0"/>
  <headerFooter>
    <oddFooter>ArbiTrack P2P · Por exchange ·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I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8" customWidth="1"/>
    <col min="4" max="5" width="15" customWidth="1"/>
    <col min="6" max="6" width="14" customWidth="1"/>
    <col min="7" max="8" width="12" customWidth="1"/>
    <col min="9" max="9" width="14" customWidth="1"/>
  </cols>
  <sheetData>
    <row r="1" spans="1:9" x14ac:dyDescent="0.25">
      <c r="A1" s="1" t="s">
        <v>166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167</v>
      </c>
      <c r="B3" s="2"/>
      <c r="C3" s="2"/>
      <c r="D3" s="2"/>
      <c r="E3" s="2"/>
      <c r="F3" s="2"/>
      <c r="G3" s="2"/>
      <c r="H3" s="2"/>
      <c r="I3" s="2"/>
    </row>
    <row r="5" ht="30" customHeight="1" spans="1:9" x14ac:dyDescent="0.25">
      <c r="A5" s="15" t="s">
        <v>53</v>
      </c>
      <c r="B5" s="15" t="s">
        <v>168</v>
      </c>
      <c r="C5" s="15" t="s">
        <v>169</v>
      </c>
      <c r="D5" s="15" t="s">
        <v>123</v>
      </c>
      <c r="E5" s="15" t="s">
        <v>124</v>
      </c>
      <c r="F5" s="15" t="s">
        <v>125</v>
      </c>
      <c r="G5" s="15" t="s">
        <v>126</v>
      </c>
      <c r="H5" s="15" t="s">
        <v>127</v>
      </c>
      <c r="I5" s="15" t="s">
        <v>128</v>
      </c>
    </row>
    <row r="6" spans="1:9" x14ac:dyDescent="0.25">
      <c r="A6" s="17" t="s">
        <v>6</v>
      </c>
      <c r="B6" s="17" t="s">
        <v>170</v>
      </c>
      <c r="C6" s="36">
        <v>3</v>
      </c>
      <c r="D6" s="21">
        <v>3956.71</v>
      </c>
      <c r="E6" s="21">
        <v>3885.55</v>
      </c>
      <c r="F6" s="21">
        <v>71.16</v>
      </c>
      <c r="G6" s="21">
        <v>1.48</v>
      </c>
      <c r="H6" s="21">
        <v>8.22</v>
      </c>
      <c r="I6" s="31">
        <v>61.46</v>
      </c>
    </row>
    <row r="7" spans="1:9" x14ac:dyDescent="0.25">
      <c r="A7" s="23" t="s">
        <v>7</v>
      </c>
      <c r="B7" s="23" t="s">
        <v>170</v>
      </c>
      <c r="C7" s="37">
        <v>1</v>
      </c>
      <c r="D7" s="27">
        <v>202</v>
      </c>
      <c r="E7" s="27">
        <v>200</v>
      </c>
      <c r="F7" s="27">
        <v>2</v>
      </c>
      <c r="G7" s="27">
        <v>0</v>
      </c>
      <c r="H7" s="27">
        <v>0</v>
      </c>
      <c r="I7" s="34">
        <v>2</v>
      </c>
    </row>
  </sheetData>
  <autoFilter ref="A5:I7"/>
  <mergeCells count="3">
    <mergeCell ref="A1:I1"/>
    <mergeCell ref="A2:I2"/>
    <mergeCell ref="A3:I3"/>
  </mergeCells>
  <pageMargins left="0.4" right="0.4" top="0.5" bottom="0.5" header="0.2" footer="0.2"/>
  <pageSetup paperSize="9" orientation="landscape" fitToWidth="1" fitToHeight="0"/>
  <headerFooter>
    <oddFooter>ArbiTrack P2P · Por período ·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  <pageSetUpPr fitToPage="1"/>
  </sheetPr>
  <dimension ref="A1:I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" customWidth="1"/>
    <col min="3" max="3" width="24" customWidth="1"/>
    <col min="4" max="4" width="11" customWidth="1"/>
    <col min="6" max="6" width="13" customWidth="1"/>
    <col min="8" max="8" width="14" customWidth="1"/>
    <col min="9" max="9" width="26" customWidth="1"/>
  </cols>
  <sheetData>
    <row r="1" spans="1:9" x14ac:dyDescent="0.25">
      <c r="A1" s="1" t="s">
        <v>171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172</v>
      </c>
      <c r="B3" s="2"/>
      <c r="C3" s="2"/>
      <c r="D3" s="2"/>
      <c r="E3" s="2"/>
      <c r="F3" s="2"/>
      <c r="G3" s="2"/>
      <c r="H3" s="2"/>
      <c r="I3" s="2"/>
    </row>
    <row r="5" ht="30" customHeight="1" spans="1:9" x14ac:dyDescent="0.25">
      <c r="A5" s="15" t="s">
        <v>173</v>
      </c>
      <c r="B5" s="15" t="s">
        <v>49</v>
      </c>
      <c r="C5" s="15" t="s">
        <v>50</v>
      </c>
      <c r="D5" s="15" t="s">
        <v>53</v>
      </c>
      <c r="E5" s="15" t="s">
        <v>52</v>
      </c>
      <c r="F5" s="15" t="s">
        <v>57</v>
      </c>
      <c r="G5" s="15" t="s">
        <v>174</v>
      </c>
      <c r="H5" s="15" t="s">
        <v>175</v>
      </c>
      <c r="I5" s="15" t="s">
        <v>176</v>
      </c>
    </row>
    <row r="6" spans="1:9" x14ac:dyDescent="0.25">
      <c r="A6" s="16">
        <v>46267.3837962963</v>
      </c>
      <c r="B6" s="17" t="s">
        <v>68</v>
      </c>
      <c r="C6" s="17" t="s">
        <v>69</v>
      </c>
      <c r="D6" s="17" t="s">
        <v>6</v>
      </c>
      <c r="E6" s="17" t="s">
        <v>71</v>
      </c>
      <c r="F6" s="19">
        <v>0.25</v>
      </c>
      <c r="G6" s="17" t="s">
        <v>72</v>
      </c>
      <c r="H6" s="21">
        <v>0.925</v>
      </c>
      <c r="I6" s="17" t="s">
        <v>177</v>
      </c>
    </row>
    <row r="7" spans="1:9" x14ac:dyDescent="0.25">
      <c r="A7" s="22">
        <v>46267.41887731482</v>
      </c>
      <c r="B7" s="23" t="s">
        <v>68</v>
      </c>
      <c r="C7" s="23" t="s">
        <v>79</v>
      </c>
      <c r="D7" s="23" t="s">
        <v>6</v>
      </c>
      <c r="E7" s="23" t="s">
        <v>71</v>
      </c>
      <c r="F7" s="25">
        <v>0.15</v>
      </c>
      <c r="G7" s="23" t="s">
        <v>72</v>
      </c>
      <c r="H7" s="27">
        <v>0.55725</v>
      </c>
      <c r="I7" s="23" t="s">
        <v>177</v>
      </c>
    </row>
    <row r="9" spans="1:8" x14ac:dyDescent="0.25">
      <c r="A9" s="38" t="s">
        <v>178</v>
      </c>
      <c r="H9" s="39">
        <f>SUMIFS(H6:H7,D6:D7,"USDT/PEN")</f>
        <v>1.48225</v>
      </c>
    </row>
    <row r="10" spans="1:8" x14ac:dyDescent="0.25">
      <c r="A10" s="38" t="s">
        <v>179</v>
      </c>
      <c r="H10" s="39">
        <f>SUMIFS(H6:H7,D6:D7,"USDT/USD")</f>
        <v>0</v>
      </c>
    </row>
  </sheetData>
  <autoFilter ref="A5:I7"/>
  <mergeCells count="3">
    <mergeCell ref="A1:I1"/>
    <mergeCell ref="A2:I2"/>
    <mergeCell ref="A3:I3"/>
  </mergeCells>
  <pageMargins left="0.4" right="0.4" top="0.5" bottom="0.5" header="0.2" footer="0.2"/>
  <pageSetup paperSize="9" orientation="landscape" fitToWidth="1" fitToHeight="0"/>
  <headerFooter>
    <oddFooter>ArbiTrack P2P · Comisiones ·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" customWidth="1"/>
    <col min="3" max="3" width="30" customWidth="1"/>
    <col min="4" max="4" width="11" customWidth="1"/>
    <col min="5" max="5" width="13" customWidth="1"/>
    <col min="7" max="7" width="14" customWidth="1"/>
    <col min="8" max="8" width="20" customWidth="1"/>
    <col min="9" max="9" width="30" customWidth="1"/>
  </cols>
  <sheetData>
    <row r="1" spans="1:9" x14ac:dyDescent="0.25">
      <c r="A1" s="1" t="s">
        <v>180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181</v>
      </c>
      <c r="B3" s="2"/>
      <c r="C3" s="2"/>
      <c r="D3" s="2"/>
      <c r="E3" s="2"/>
      <c r="F3" s="2"/>
      <c r="G3" s="2"/>
      <c r="H3" s="2"/>
      <c r="I3" s="2"/>
    </row>
    <row r="5" ht="30" customHeight="1" spans="1:9" x14ac:dyDescent="0.25">
      <c r="A5" s="15" t="s">
        <v>173</v>
      </c>
      <c r="B5" s="15" t="s">
        <v>53</v>
      </c>
      <c r="C5" s="15" t="s">
        <v>182</v>
      </c>
      <c r="D5" s="15" t="s">
        <v>49</v>
      </c>
      <c r="E5" s="15" t="s">
        <v>183</v>
      </c>
      <c r="F5" s="15" t="s">
        <v>174</v>
      </c>
      <c r="G5" s="15" t="s">
        <v>175</v>
      </c>
      <c r="H5" s="15" t="s">
        <v>61</v>
      </c>
      <c r="I5" s="15" t="s">
        <v>184</v>
      </c>
    </row>
    <row r="6" spans="1:9" x14ac:dyDescent="0.25">
      <c r="A6" s="16">
        <v>46268.70833333333</v>
      </c>
      <c r="B6" s="17" t="s">
        <v>6</v>
      </c>
      <c r="C6" s="17" t="s">
        <v>185</v>
      </c>
      <c r="D6" s="17" t="s">
        <v>68</v>
      </c>
      <c r="E6" s="19">
        <v>1</v>
      </c>
      <c r="F6" s="17" t="s">
        <v>72</v>
      </c>
      <c r="G6" s="21">
        <v>3.71685843</v>
      </c>
      <c r="H6" s="17" t="s">
        <v>75</v>
      </c>
      <c r="I6" s="17" t="s">
        <v>75</v>
      </c>
    </row>
    <row r="7" spans="1:9" x14ac:dyDescent="0.25">
      <c r="A7" s="22">
        <v>46295.5</v>
      </c>
      <c r="B7" s="23" t="s">
        <v>6</v>
      </c>
      <c r="C7" s="23" t="s">
        <v>186</v>
      </c>
      <c r="D7" s="23" t="s">
        <v>75</v>
      </c>
      <c r="E7" s="25">
        <v>4.5</v>
      </c>
      <c r="F7" s="23" t="s">
        <v>158</v>
      </c>
      <c r="G7" s="27">
        <v>4.5</v>
      </c>
      <c r="H7" s="23" t="s">
        <v>75</v>
      </c>
      <c r="I7" s="23" t="s">
        <v>75</v>
      </c>
    </row>
  </sheetData>
  <autoFilter ref="A5:I7"/>
  <mergeCells count="3">
    <mergeCell ref="A1:I1"/>
    <mergeCell ref="A2:I2"/>
    <mergeCell ref="A3:I3"/>
  </mergeCells>
  <pageMargins left="0.4" right="0.4" top="0.5" bottom="0.5" header="0.2" footer="0.2"/>
  <pageSetup paperSize="9" orientation="landscape" fitToWidth="1" fitToHeight="0"/>
  <headerFooter>
    <oddFooter>ArbiTrack P2P · Otros costos · 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  <pageSetUpPr fitToPage="1"/>
  </sheetPr>
  <dimension ref="A1:L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" customWidth="1"/>
    <col min="3" max="3" width="24" customWidth="1"/>
    <col min="4" max="4" width="18" customWidth="1"/>
    <col min="6" max="6" width="11" customWidth="1"/>
    <col min="7" max="7" width="15" customWidth="1"/>
    <col min="8" max="8" width="12" customWidth="1"/>
    <col min="9" max="9" width="14" customWidth="1"/>
    <col min="10" max="10" width="12" customWidth="1"/>
    <col min="11" max="11" width="16" customWidth="1"/>
    <col min="12" max="12" width="44" customWidth="1"/>
  </cols>
  <sheetData>
    <row r="1" spans="1:12" x14ac:dyDescent="0.25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188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30" customHeight="1" spans="1:12" x14ac:dyDescent="0.25">
      <c r="A5" s="15" t="s">
        <v>173</v>
      </c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120</v>
      </c>
      <c r="H5" s="15" t="s">
        <v>55</v>
      </c>
      <c r="I5" s="15" t="s">
        <v>189</v>
      </c>
      <c r="J5" s="15" t="s">
        <v>60</v>
      </c>
      <c r="K5" s="15" t="s">
        <v>190</v>
      </c>
      <c r="L5" s="15" t="s">
        <v>191</v>
      </c>
    </row>
    <row r="6" spans="1:12" x14ac:dyDescent="0.25">
      <c r="A6" s="16">
        <v>46268.334027777775</v>
      </c>
      <c r="B6" s="17" t="s">
        <v>68</v>
      </c>
      <c r="C6" s="17" t="s">
        <v>192</v>
      </c>
      <c r="D6" s="17" t="s">
        <v>193</v>
      </c>
      <c r="E6" s="17" t="s">
        <v>86</v>
      </c>
      <c r="F6" s="17" t="s">
        <v>6</v>
      </c>
      <c r="G6" s="19">
        <v>100</v>
      </c>
      <c r="H6" s="20">
        <v>3.765</v>
      </c>
      <c r="I6" s="21">
        <v>376.5</v>
      </c>
      <c r="J6" s="17" t="s">
        <v>194</v>
      </c>
      <c r="K6" s="17" t="s">
        <v>195</v>
      </c>
      <c r="L6" s="17" t="s">
        <v>196</v>
      </c>
    </row>
    <row r="7" spans="1:12" x14ac:dyDescent="0.25">
      <c r="A7" s="22">
        <v>46280.45833333333</v>
      </c>
      <c r="B7" s="23" t="s">
        <v>94</v>
      </c>
      <c r="C7" s="23" t="s">
        <v>197</v>
      </c>
      <c r="D7" s="23" t="s">
        <v>96</v>
      </c>
      <c r="E7" s="23" t="s">
        <v>86</v>
      </c>
      <c r="F7" s="23" t="s">
        <v>6</v>
      </c>
      <c r="G7" s="25">
        <v>250</v>
      </c>
      <c r="H7" s="26">
        <v>3.77</v>
      </c>
      <c r="I7" s="27">
        <v>942.5</v>
      </c>
      <c r="J7" s="23" t="s">
        <v>198</v>
      </c>
      <c r="K7" s="23" t="s">
        <v>198</v>
      </c>
      <c r="L7" s="23" t="s">
        <v>199</v>
      </c>
    </row>
  </sheetData>
  <autoFilter ref="A5:L7"/>
  <mergeCells count="3">
    <mergeCell ref="A1:L1"/>
    <mergeCell ref="A2:L2"/>
    <mergeCell ref="A3:L3"/>
  </mergeCells>
  <pageMargins left="0.4" right="0.4" top="0.5" bottom="0.5" header="0.2" footer="0.2"/>
  <pageSetup paperSize="9" orientation="landscape" fitToWidth="1" fitToHeight="0"/>
  <headerFooter>
    <oddFooter>ArbiTrack P2P · Excluidas ·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  <pageSetUpPr fitToPage="1"/>
  </sheetPr>
  <dimension ref="A1:H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5" width="11" customWidth="1"/>
    <col min="6" max="6" width="24" customWidth="1"/>
    <col min="7" max="7" width="26" customWidth="1"/>
    <col min="8" max="8" width="80" customWidth="1"/>
  </cols>
  <sheetData>
    <row r="1" spans="1:8" x14ac:dyDescent="0.25">
      <c r="A1" s="1" t="s">
        <v>200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201</v>
      </c>
      <c r="B3" s="2"/>
      <c r="C3" s="2"/>
      <c r="D3" s="2"/>
      <c r="E3" s="2"/>
      <c r="F3" s="2"/>
      <c r="G3" s="2"/>
      <c r="H3" s="2"/>
    </row>
    <row r="5" ht="30" customHeight="1" spans="1:8" x14ac:dyDescent="0.25">
      <c r="A5" s="15" t="s">
        <v>202</v>
      </c>
      <c r="B5" s="15" t="s">
        <v>203</v>
      </c>
      <c r="C5" s="15" t="s">
        <v>173</v>
      </c>
      <c r="D5" s="15" t="s">
        <v>53</v>
      </c>
      <c r="E5" s="15" t="s">
        <v>49</v>
      </c>
      <c r="F5" s="15" t="s">
        <v>50</v>
      </c>
      <c r="G5" s="15" t="s">
        <v>204</v>
      </c>
      <c r="H5" s="15" t="s">
        <v>205</v>
      </c>
    </row>
    <row r="6" spans="1:8" x14ac:dyDescent="0.25">
      <c r="A6" s="40" t="s">
        <v>206</v>
      </c>
      <c r="B6" s="17" t="s">
        <v>207</v>
      </c>
      <c r="C6" s="16">
        <v>46280.45833333333</v>
      </c>
      <c r="D6" s="17" t="s">
        <v>6</v>
      </c>
      <c r="E6" s="17" t="s">
        <v>94</v>
      </c>
      <c r="F6" s="17" t="s">
        <v>197</v>
      </c>
      <c r="G6" s="17" t="s">
        <v>208</v>
      </c>
      <c r="H6" s="17" t="s">
        <v>209</v>
      </c>
    </row>
    <row r="7" spans="1:8" x14ac:dyDescent="0.25">
      <c r="A7" s="41" t="s">
        <v>210</v>
      </c>
      <c r="B7" s="23" t="s">
        <v>211</v>
      </c>
      <c r="C7" s="22">
        <v>46280.375</v>
      </c>
      <c r="D7" s="23" t="s">
        <v>6</v>
      </c>
      <c r="E7" s="23" t="s">
        <v>94</v>
      </c>
      <c r="F7" s="23" t="s">
        <v>104</v>
      </c>
      <c r="G7" s="23" t="s">
        <v>108</v>
      </c>
      <c r="H7" s="23" t="s">
        <v>212</v>
      </c>
    </row>
  </sheetData>
  <autoFilter ref="A5:H7"/>
  <mergeCells count="3">
    <mergeCell ref="A1:H1"/>
    <mergeCell ref="A2:H2"/>
    <mergeCell ref="A3:H3"/>
  </mergeCells>
  <pageMargins left="0.4" right="0.4" top="0.5" bottom="0.5" header="0.2" footer="0.2"/>
  <pageSetup paperSize="9" orientation="landscape" fitToWidth="1" fitToHeight="0"/>
  <headerFooter>
    <oddFooter>ArbiTrack P2P · Incidencias ·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2"/>
  <sheetFormatPr defaultRowHeight="15" outlineLevelRow="0" outlineLevelCol="0" x14ac:dyDescent="55"/>
  <cols>
    <col min="1" max="1" width="120" customWidth="1"/>
  </cols>
  <sheetData>
    <row r="1" spans="1:1" x14ac:dyDescent="0.25">
      <c r="A1" s="42" t="s">
        <v>213</v>
      </c>
    </row>
    <row r="2" spans="1:1" x14ac:dyDescent="0.25">
      <c r="A2" s="43" t="s">
        <v>75</v>
      </c>
    </row>
    <row r="3" spans="1:1" x14ac:dyDescent="0.25">
      <c r="A3" s="43" t="s">
        <v>214</v>
      </c>
    </row>
    <row r="4" spans="1:1" x14ac:dyDescent="0.25">
      <c r="A4" s="43" t="s">
        <v>215</v>
      </c>
    </row>
    <row r="5" spans="1:1" x14ac:dyDescent="0.25">
      <c r="A5" s="43" t="s">
        <v>216</v>
      </c>
    </row>
    <row r="6" spans="1:1" x14ac:dyDescent="0.25">
      <c r="A6" s="43" t="s">
        <v>217</v>
      </c>
    </row>
    <row r="7" spans="1:1" x14ac:dyDescent="0.25">
      <c r="A7" s="43" t="s">
        <v>218</v>
      </c>
    </row>
    <row r="8" spans="1:1" x14ac:dyDescent="0.25">
      <c r="A8" s="43" t="s">
        <v>219</v>
      </c>
    </row>
    <row r="9" spans="1:1" x14ac:dyDescent="0.25">
      <c r="A9" s="43" t="s">
        <v>220</v>
      </c>
    </row>
    <row r="10" spans="1:1" x14ac:dyDescent="0.25">
      <c r="A10" s="43" t="s">
        <v>221</v>
      </c>
    </row>
    <row r="11" spans="1:1" x14ac:dyDescent="0.25">
      <c r="A11" s="43" t="s">
        <v>222</v>
      </c>
    </row>
    <row r="12" spans="1:1" x14ac:dyDescent="0.25">
      <c r="A12" s="43" t="s">
        <v>223</v>
      </c>
    </row>
  </sheetData>
  <pageMargins left="0.4" right="0.4" top="0.5" bottom="0.5" header="0.2" footer="0.2"/>
  <pageSetup paperSize="9" orientation="landscape" fitToWidth="1" fitToHeight="0"/>
  <headerFooter>
    <oddFooter>ArbiTrack P2P · Metodología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</vt:lpstr>
      <vt:lpstr>Operaciones</vt:lpstr>
      <vt:lpstr>Ciclos</vt:lpstr>
      <vt:lpstr>Trazabilidad FIFO</vt:lpstr>
      <vt:lpstr>Por moneda</vt:lpstr>
      <vt:lpstr>Por exchange</vt:lpstr>
      <vt:lpstr>Por período</vt:lpstr>
      <vt:lpstr>Comisiones</vt:lpstr>
      <vt:lpstr>Otros costos</vt:lpstr>
      <vt:lpstr>Excluidas</vt:lpstr>
      <vt:lpstr>Incidencias</vt:lpstr>
      <vt:lpstr>Metodología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ArbiTrack P2P</dc:creator>
  <dc:title/>
  <dc:subject/>
  <dc:description/>
  <cp:keywords/>
  <cp:category/>
  <cp:lastModifiedBy>Unknown</cp:lastModifiedBy>
  <dcterms:created xsi:type="dcterms:W3CDTF">2026-09-30T01:28:35Z</dcterms:created>
  <dcterms:modified xsi:type="dcterms:W3CDTF">2026-09-30T01:28:35Z</dcterms:modified>
</cp:coreProperties>
</file>